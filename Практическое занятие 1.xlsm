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Boris\Desktop\Учёба\3 курс\2 семестр\Механика сплошной среды\"/>
    </mc:Choice>
  </mc:AlternateContent>
  <xr:revisionPtr revIDLastSave="0" documentId="13_ncr:1_{19123E98-AF83-436C-A9D7-C94C63D0BE94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J13" i="1" l="1"/>
  <c r="F13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C5" i="1"/>
  <c r="H12" i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  <c r="C4" i="1"/>
</calcChain>
</file>

<file path=xl/sharedStrings.xml><?xml version="1.0" encoding="utf-8"?>
<sst xmlns="http://schemas.openxmlformats.org/spreadsheetml/2006/main" count="12" uniqueCount="11">
  <si>
    <t>L</t>
  </si>
  <si>
    <t>dx</t>
  </si>
  <si>
    <t>dt</t>
  </si>
  <si>
    <t>t</t>
  </si>
  <si>
    <t>cp</t>
  </si>
  <si>
    <t>ro</t>
  </si>
  <si>
    <t>lambda</t>
  </si>
  <si>
    <t>T</t>
  </si>
  <si>
    <t>T_start</t>
  </si>
  <si>
    <t>T_end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</si>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</sst>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0" fontId="0" fillId="0" borderId="1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Лист1!$E$12</c:f>
              <c:strCache>
                <c:ptCount val="1"/>
                <c:pt idx="0">
                  <c:v>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Лист1!$F$11:$AJ$11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Лист1!$F$12:$AJ$12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9B-47CD-8D9C-4424060B08B4}"/>
            </c:ext>
          </c:extLst>
        </c:ser>
        <c:ser>
          <c:idx val="1"/>
          <c:order val="1"/>
          <c:tx>
            <c:strRef>
              <c:f>Лист1!$E$13</c:f>
              <c:strCache>
                <c:ptCount val="1"/>
                <c:pt idx="0">
                  <c:v>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Лист1!$F$11:$AJ$11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293.33325017875183</c:v>
                </c:pt>
                <c:pt idx="2">
                  <c:v>286.66650217463075</c:v>
                </c:pt>
                <c:pt idx="3">
                  <c:v>279.99975417050973</c:v>
                </c:pt>
                <c:pt idx="4">
                  <c:v>273.33301153835282</c:v>
                </c:pt>
                <c:pt idx="5">
                  <c:v>266.66626890619597</c:v>
                </c:pt>
                <c:pt idx="6">
                  <c:v>259.99953496605974</c:v>
                </c:pt>
                <c:pt idx="7">
                  <c:v>253.33280102592343</c:v>
                </c:pt>
                <c:pt idx="8">
                  <c:v>246.66607871798124</c:v>
                </c:pt>
                <c:pt idx="9">
                  <c:v>239.99935641003904</c:v>
                </c:pt>
                <c:pt idx="10">
                  <c:v>233.33264816608164</c:v>
                </c:pt>
                <c:pt idx="11">
                  <c:v>226.66593992212421</c:v>
                </c:pt>
                <c:pt idx="12">
                  <c:v>219.99924755927873</c:v>
                </c:pt>
                <c:pt idx="13">
                  <c:v>213.33255519643319</c:v>
                </c:pt>
                <c:pt idx="14">
                  <c:v>206.66587983774593</c:v>
                </c:pt>
                <c:pt idx="15">
                  <c:v>199.99920447905862</c:v>
                </c:pt>
                <c:pt idx="16">
                  <c:v>193.33254650441262</c:v>
                </c:pt>
                <c:pt idx="17">
                  <c:v>186.66588852976651</c:v>
                </c:pt>
                <c:pt idx="18">
                  <c:v>179.99924755927873</c:v>
                </c:pt>
                <c:pt idx="19">
                  <c:v>173.33260658879087</c:v>
                </c:pt>
                <c:pt idx="20">
                  <c:v>166.66598149941501</c:v>
                </c:pt>
                <c:pt idx="21">
                  <c:v>159.99935641003904</c:v>
                </c:pt>
                <c:pt idx="22">
                  <c:v>153.33274538464798</c:v>
                </c:pt>
                <c:pt idx="23">
                  <c:v>146.66613435925677</c:v>
                </c:pt>
                <c:pt idx="24">
                  <c:v>139.99953496605977</c:v>
                </c:pt>
                <c:pt idx="25">
                  <c:v>133.33293557286265</c:v>
                </c:pt>
                <c:pt idx="26">
                  <c:v>126.66634487168623</c:v>
                </c:pt>
                <c:pt idx="27">
                  <c:v>119.99975417050972</c:v>
                </c:pt>
                <c:pt idx="28">
                  <c:v>113.33316884129746</c:v>
                </c:pt>
                <c:pt idx="29">
                  <c:v>106.66658351208517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9B-47CD-8D9C-4424060B08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301151"/>
        <c:axId val="41319455"/>
      </c:lineChart>
      <c:catAx>
        <c:axId val="413011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319455"/>
        <c:crosses val="autoZero"/>
        <c:auto val="1"/>
        <c:lblAlgn val="ctr"/>
        <c:lblOffset val="100"/>
        <c:noMultiLvlLbl val="0"/>
      </c:catAx>
      <c:valAx>
        <c:axId val="41319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3011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556260</xdr:colOff>
      <xdr:row>15</xdr:row>
      <xdr:rowOff>118110</xdr:rowOff>
    </xdr:from>
    <xdr:to>
      <xdr:col>10</xdr:col>
      <xdr:colOff>487680</xdr:colOff>
      <xdr:row>30</xdr:row>
      <xdr:rowOff>118110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CE087566-AC4A-4381-AED1-8AB3AC4F87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3:AJ15"/>
  <sheetViews>
    <sheetView tabSelected="1" topLeftCell="A7" workbookViewId="0">
      <selection activeCell="N18" sqref="N18"/>
    </sheetView>
  </sheetViews>
  <sheetFormatPr defaultRowHeight="14.4" x14ac:dyDescent="0.3"/>
  <sheetData>
    <row r="3" spans="2:36" x14ac:dyDescent="0.3">
      <c r="B3" s="2" t="s">
        <v>0</v>
      </c>
      <c r="C3" s="2">
        <v>0.1</v>
      </c>
    </row>
    <row r="4" spans="2:36" x14ac:dyDescent="0.3">
      <c r="B4" s="2" t="s">
        <v>1</v>
      </c>
      <c r="C4" s="2">
        <f>C3/30</f>
        <v>3.3333333333333335E-3</v>
      </c>
    </row>
    <row r="5" spans="2:36" x14ac:dyDescent="0.3">
      <c r="B5" s="2" t="s">
        <v>2</v>
      </c>
      <c r="C5" s="2">
        <f>(C9*C8*C4^2)/(2*C10)</f>
        <v>0.4333333333333334</v>
      </c>
    </row>
    <row r="6" spans="2:36" x14ac:dyDescent="0.3">
      <c r="B6" s="2" t="s">
        <v>3</v>
      </c>
      <c r="C6" s="2">
        <v>1000</v>
      </c>
      <c r="D6">
        <v>1000.1333333333334</v>
      </c>
    </row>
    <row r="8" spans="2:36" x14ac:dyDescent="0.3">
      <c r="B8" s="2" t="s">
        <v>4</v>
      </c>
      <c r="C8" s="2">
        <v>460</v>
      </c>
    </row>
    <row r="9" spans="2:36" x14ac:dyDescent="0.3">
      <c r="B9" s="2" t="s">
        <v>5</v>
      </c>
      <c r="C9" s="2">
        <v>7800</v>
      </c>
    </row>
    <row r="10" spans="2:36" x14ac:dyDescent="0.3">
      <c r="B10" s="2" t="s">
        <v>6</v>
      </c>
      <c r="C10" s="2">
        <v>46</v>
      </c>
    </row>
    <row r="11" spans="2:36" x14ac:dyDescent="0.3">
      <c r="F11">
        <v>1</v>
      </c>
      <c r="G11">
        <v>2</v>
      </c>
      <c r="H11">
        <v>3</v>
      </c>
      <c r="I11">
        <v>4</v>
      </c>
      <c r="J11">
        <v>5</v>
      </c>
      <c r="K11">
        <v>6</v>
      </c>
      <c r="L11">
        <v>7</v>
      </c>
      <c r="M11">
        <v>8</v>
      </c>
      <c r="N11">
        <v>9</v>
      </c>
      <c r="O11">
        <v>10</v>
      </c>
      <c r="P11">
        <v>11</v>
      </c>
      <c r="Q11">
        <v>12</v>
      </c>
      <c r="R11">
        <v>13</v>
      </c>
      <c r="S11">
        <v>14</v>
      </c>
      <c r="T11">
        <v>15</v>
      </c>
      <c r="U11">
        <v>16</v>
      </c>
      <c r="V11">
        <v>17</v>
      </c>
      <c r="W11">
        <v>18</v>
      </c>
      <c r="X11">
        <v>19</v>
      </c>
      <c r="Y11">
        <v>20</v>
      </c>
      <c r="Z11">
        <v>21</v>
      </c>
      <c r="AA11">
        <v>22</v>
      </c>
      <c r="AB11">
        <v>23</v>
      </c>
      <c r="AC11">
        <v>24</v>
      </c>
      <c r="AD11">
        <v>25</v>
      </c>
      <c r="AE11">
        <v>26</v>
      </c>
      <c r="AF11">
        <v>27</v>
      </c>
      <c r="AG11">
        <v>28</v>
      </c>
      <c r="AH11">
        <v>29</v>
      </c>
      <c r="AI11">
        <v>30</v>
      </c>
      <c r="AJ11">
        <v>31</v>
      </c>
    </row>
    <row r="12" spans="2:36" x14ac:dyDescent="0.3">
      <c r="B12" s="2" t="s">
        <v>8</v>
      </c>
      <c r="C12" s="2">
        <v>300</v>
      </c>
      <c r="E12" t="s">
        <v>0</v>
      </c>
      <c r="F12" s="1">
        <v>0</v>
      </c>
      <c r="G12" s="1">
        <f>F12+$C$4</f>
        <v>3.3333333333333335E-3</v>
      </c>
      <c r="H12" s="1">
        <f t="shared" ref="H12:AJ12" si="0">G12+$C$4</f>
        <v>6.6666666666666671E-3</v>
      </c>
      <c r="I12" s="1">
        <f t="shared" si="0"/>
        <v>0.01</v>
      </c>
      <c r="J12" s="1">
        <f t="shared" si="0"/>
        <v>1.3333333333333334E-2</v>
      </c>
      <c r="K12" s="1">
        <f t="shared" si="0"/>
        <v>1.6666666666666666E-2</v>
      </c>
      <c r="L12" s="1">
        <f t="shared" si="0"/>
        <v>0.02</v>
      </c>
      <c r="M12" s="1">
        <f t="shared" si="0"/>
        <v>2.3333333333333334E-2</v>
      </c>
      <c r="N12" s="1">
        <f t="shared" si="0"/>
        <v>2.6666666666666668E-2</v>
      </c>
      <c r="O12" s="1">
        <f t="shared" si="0"/>
        <v>3.0000000000000002E-2</v>
      </c>
      <c r="P12" s="1">
        <f t="shared" si="0"/>
        <v>3.3333333333333333E-2</v>
      </c>
      <c r="Q12" s="1">
        <f t="shared" si="0"/>
        <v>3.6666666666666667E-2</v>
      </c>
      <c r="R12" s="1">
        <f t="shared" si="0"/>
        <v>0.04</v>
      </c>
      <c r="S12" s="1">
        <f t="shared" si="0"/>
        <v>4.3333333333333335E-2</v>
      </c>
      <c r="T12" s="1">
        <f t="shared" si="0"/>
        <v>4.6666666666666669E-2</v>
      </c>
      <c r="U12" s="1">
        <f t="shared" si="0"/>
        <v>0.05</v>
      </c>
      <c r="V12" s="1">
        <f t="shared" si="0"/>
        <v>5.3333333333333337E-2</v>
      </c>
      <c r="W12" s="1">
        <f t="shared" si="0"/>
        <v>5.6666666666666671E-2</v>
      </c>
      <c r="X12" s="1">
        <f t="shared" si="0"/>
        <v>6.0000000000000005E-2</v>
      </c>
      <c r="Y12" s="1">
        <f t="shared" si="0"/>
        <v>6.3333333333333339E-2</v>
      </c>
      <c r="Z12" s="1">
        <f t="shared" si="0"/>
        <v>6.6666666666666666E-2</v>
      </c>
      <c r="AA12" s="1">
        <f t="shared" si="0"/>
        <v>6.9999999999999993E-2</v>
      </c>
      <c r="AB12" s="1">
        <f t="shared" si="0"/>
        <v>7.333333333333332E-2</v>
      </c>
      <c r="AC12" s="1">
        <f t="shared" si="0"/>
        <v>7.6666666666666647E-2</v>
      </c>
      <c r="AD12" s="1">
        <f t="shared" si="0"/>
        <v>7.9999999999999974E-2</v>
      </c>
      <c r="AE12" s="1">
        <f t="shared" si="0"/>
        <v>8.3333333333333301E-2</v>
      </c>
      <c r="AF12" s="1">
        <f t="shared" si="0"/>
        <v>8.6666666666666628E-2</v>
      </c>
      <c r="AG12" s="1">
        <f t="shared" si="0"/>
        <v>8.9999999999999955E-2</v>
      </c>
      <c r="AH12" s="1">
        <f t="shared" si="0"/>
        <v>9.3333333333333282E-2</v>
      </c>
      <c r="AI12" s="1">
        <f t="shared" si="0"/>
        <v>9.6666666666666609E-2</v>
      </c>
      <c r="AJ12" s="1">
        <f t="shared" si="0"/>
        <v>9.9999999999999936E-2</v>
      </c>
    </row>
    <row r="13" spans="2:36" x14ac:dyDescent="0.3">
      <c r="B13" s="2" t="s">
        <v>9</v>
      </c>
      <c r="C13" s="2">
        <v>100</v>
      </c>
      <c r="E13" t="s">
        <v>7</v>
      </c>
      <c r="F13">
        <f>C12</f>
        <v>300</v>
      </c>
      <c r="G13">
        <v>293.33325017875183</v>
      </c>
      <c r="H13">
        <v>286.66650217463075</v>
      </c>
      <c r="I13">
        <v>279.99975417050973</v>
      </c>
      <c r="J13">
        <v>273.33301153835282</v>
      </c>
      <c r="K13">
        <v>266.66626890619597</v>
      </c>
      <c r="L13">
        <v>259.99953496605974</v>
      </c>
      <c r="M13">
        <v>253.33280102592343</v>
      </c>
      <c r="N13">
        <v>246.66607871798124</v>
      </c>
      <c r="O13">
        <v>239.99935641003904</v>
      </c>
      <c r="P13">
        <v>233.33264816608164</v>
      </c>
      <c r="Q13">
        <v>226.66593992212421</v>
      </c>
      <c r="R13">
        <v>219.99924755927873</v>
      </c>
      <c r="S13">
        <v>213.33255519643319</v>
      </c>
      <c r="T13">
        <v>206.66587983774593</v>
      </c>
      <c r="U13">
        <v>199.99920447905862</v>
      </c>
      <c r="V13">
        <v>193.33254650441262</v>
      </c>
      <c r="W13">
        <v>186.66588852976651</v>
      </c>
      <c r="X13">
        <v>179.99924755927873</v>
      </c>
      <c r="Y13">
        <v>173.33260658879087</v>
      </c>
      <c r="Z13">
        <v>166.66598149941501</v>
      </c>
      <c r="AA13">
        <v>159.99935641003904</v>
      </c>
      <c r="AB13">
        <v>153.33274538464798</v>
      </c>
      <c r="AC13">
        <v>146.66613435925677</v>
      </c>
      <c r="AD13">
        <v>139.99953496605977</v>
      </c>
      <c r="AE13">
        <v>133.33293557286265</v>
      </c>
      <c r="AF13">
        <v>126.66634487168623</v>
      </c>
      <c r="AG13">
        <v>119.99975417050972</v>
      </c>
      <c r="AH13">
        <v>113.33316884129746</v>
      </c>
      <c r="AI13">
        <v>106.66658351208517</v>
      </c>
      <c r="AJ13">
        <f>C13</f>
        <v>100</v>
      </c>
    </row>
    <row r="15" spans="2:36" x14ac:dyDescent="0.3">
      <c r="E15" t="s">
        <v>10</v>
      </c>
      <c r="G15">
        <f>G13+(($C$10*$C$5)/($C$9*$C$8))*((H13-2*G13+F13)/($C$4^2))</f>
        <v>293.33325108731538</v>
      </c>
      <c r="H15">
        <f t="shared" ref="H15:AJ15" si="1">H13+(($C$10*$C$5)/($C$9*$C$8))*((I13-2*H13+G13)/($C$4^2))</f>
        <v>286.66650217463075</v>
      </c>
      <c r="I15">
        <f t="shared" si="1"/>
        <v>279.99975685649179</v>
      </c>
      <c r="J15">
        <f t="shared" si="1"/>
        <v>273.33301153835282</v>
      </c>
      <c r="K15">
        <f t="shared" si="1"/>
        <v>266.66627325220628</v>
      </c>
      <c r="L15">
        <f t="shared" si="1"/>
        <v>259.99953496605974</v>
      </c>
      <c r="M15">
        <f t="shared" si="1"/>
        <v>253.33280684202049</v>
      </c>
      <c r="N15">
        <f t="shared" si="1"/>
        <v>246.66607871798124</v>
      </c>
      <c r="O15">
        <f t="shared" si="1"/>
        <v>239.99936344203144</v>
      </c>
      <c r="P15">
        <f t="shared" si="1"/>
        <v>233.33264816608164</v>
      </c>
      <c r="Q15">
        <f t="shared" si="1"/>
        <v>226.66594786268018</v>
      </c>
      <c r="R15">
        <f t="shared" si="1"/>
        <v>219.9992475592787</v>
      </c>
      <c r="S15">
        <f t="shared" si="1"/>
        <v>213.33256369851233</v>
      </c>
      <c r="T15">
        <f t="shared" si="1"/>
        <v>206.6658798377459</v>
      </c>
      <c r="U15">
        <f t="shared" si="1"/>
        <v>199.99921317107928</v>
      </c>
      <c r="V15">
        <f t="shared" si="1"/>
        <v>193.33254650441256</v>
      </c>
      <c r="W15">
        <f t="shared" si="1"/>
        <v>186.66589703184567</v>
      </c>
      <c r="X15">
        <f t="shared" si="1"/>
        <v>179.99924755927867</v>
      </c>
      <c r="Y15">
        <f t="shared" si="1"/>
        <v>173.33261452934687</v>
      </c>
      <c r="Z15">
        <f t="shared" si="1"/>
        <v>166.66598149941495</v>
      </c>
      <c r="AA15">
        <f t="shared" si="1"/>
        <v>159.99936344203149</v>
      </c>
      <c r="AB15">
        <f t="shared" si="1"/>
        <v>153.33274538464792</v>
      </c>
      <c r="AC15">
        <f t="shared" si="1"/>
        <v>146.66614017535386</v>
      </c>
      <c r="AD15">
        <f t="shared" si="1"/>
        <v>139.99953496605971</v>
      </c>
      <c r="AE15">
        <f t="shared" si="1"/>
        <v>133.33293991887302</v>
      </c>
      <c r="AF15">
        <f t="shared" si="1"/>
        <v>126.66634487168618</v>
      </c>
      <c r="AG15">
        <f t="shared" si="1"/>
        <v>119.99975685649184</v>
      </c>
      <c r="AH15">
        <f t="shared" si="1"/>
        <v>113.33316884129744</v>
      </c>
      <c r="AI15">
        <f t="shared" si="1"/>
        <v>106.66658442064873</v>
      </c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Борис Ирышков</dc:creator>
  <cp:lastModifiedBy>Борис Ирышков</cp:lastModifiedBy>
  <dcterms:created xsi:type="dcterms:W3CDTF">2015-06-05T18:19:34Z</dcterms:created>
  <dcterms:modified xsi:type="dcterms:W3CDTF">2021-02-25T07:19:27Z</dcterms:modified>
</cp:coreProperties>
</file>