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oris\Desktop\Учёба\3 курс\2 семестр\Механика сплошной среды\"/>
    </mc:Choice>
  </mc:AlternateContent>
  <xr:revisionPtr revIDLastSave="0" documentId="13_ncr:1_{7BF4E2E4-6B75-4199-BF9F-40476A223E7F}" xr6:coauthVersionLast="46" xr6:coauthVersionMax="46" xr10:uidLastSave="{00000000-0000-0000-0000-000000000000}"/>
  <bookViews>
    <workbookView xWindow="-108" yWindow="-108" windowWidth="23256" windowHeight="12576" activeTab="2" xr2:uid="{00000000-000D-0000-FFFF-FFFF00000000}"/>
  </bookViews>
  <sheets>
    <sheet name="ГУ 1-го рода" sheetId="1" r:id="rId1"/>
    <sheet name="ГУ 2-го рода" sheetId="2" r:id="rId2"/>
    <sheet name="ГУ 3-го рода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3" l="1"/>
  <c r="F13" i="3"/>
  <c r="G16" i="3" s="1"/>
  <c r="AJ13" i="3"/>
  <c r="AJ13" i="2"/>
  <c r="AI16" i="3"/>
  <c r="AH16" i="3"/>
  <c r="AC16" i="3"/>
  <c r="AB16" i="3"/>
  <c r="AA16" i="3"/>
  <c r="Z16" i="3"/>
  <c r="U16" i="3"/>
  <c r="T16" i="3"/>
  <c r="S16" i="3"/>
  <c r="R16" i="3"/>
  <c r="M16" i="3"/>
  <c r="L16" i="3"/>
  <c r="K16" i="3"/>
  <c r="J16" i="3"/>
  <c r="AI15" i="3"/>
  <c r="AH15" i="3"/>
  <c r="AG15" i="3"/>
  <c r="AF15" i="3"/>
  <c r="AA15" i="3"/>
  <c r="Z15" i="3"/>
  <c r="Y15" i="3"/>
  <c r="X15" i="3"/>
  <c r="S15" i="3"/>
  <c r="R15" i="3"/>
  <c r="Q15" i="3"/>
  <c r="P15" i="3"/>
  <c r="K15" i="3"/>
  <c r="J15" i="3"/>
  <c r="I15" i="3"/>
  <c r="H15" i="3"/>
  <c r="C5" i="3"/>
  <c r="AE15" i="3" s="1"/>
  <c r="C4" i="3"/>
  <c r="AG16" i="3" s="1"/>
  <c r="F13" i="1"/>
  <c r="AI16" i="2"/>
  <c r="AH16" i="2"/>
  <c r="AD16" i="2"/>
  <c r="AC16" i="2"/>
  <c r="AB16" i="2"/>
  <c r="AA16" i="2"/>
  <c r="Z16" i="2"/>
  <c r="V16" i="2"/>
  <c r="U16" i="2"/>
  <c r="T16" i="2"/>
  <c r="S16" i="2"/>
  <c r="R16" i="2"/>
  <c r="N16" i="2"/>
  <c r="M16" i="2"/>
  <c r="L16" i="2"/>
  <c r="K16" i="2"/>
  <c r="J16" i="2"/>
  <c r="F16" i="2"/>
  <c r="F13" i="2" s="1"/>
  <c r="G16" i="2" s="1"/>
  <c r="C4" i="2"/>
  <c r="AG16" i="2" s="1"/>
  <c r="AB15" i="3" l="1"/>
  <c r="N16" i="3"/>
  <c r="V16" i="3"/>
  <c r="AD16" i="3"/>
  <c r="T15" i="3"/>
  <c r="M15" i="3"/>
  <c r="U15" i="3"/>
  <c r="AC15" i="3"/>
  <c r="O16" i="3"/>
  <c r="W16" i="3"/>
  <c r="AE16" i="3"/>
  <c r="L15" i="3"/>
  <c r="N15" i="3"/>
  <c r="V15" i="3"/>
  <c r="AD15" i="3"/>
  <c r="H16" i="3"/>
  <c r="P16" i="3"/>
  <c r="X16" i="3"/>
  <c r="AF16" i="3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5" i="3"/>
  <c r="O15" i="3"/>
  <c r="W15" i="3"/>
  <c r="I16" i="3"/>
  <c r="Q16" i="3"/>
  <c r="Y16" i="3"/>
  <c r="O16" i="2"/>
  <c r="W16" i="2"/>
  <c r="AE16" i="2"/>
  <c r="C5" i="2"/>
  <c r="H16" i="2"/>
  <c r="P16" i="2"/>
  <c r="X16" i="2"/>
  <c r="AF16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I16" i="2"/>
  <c r="Q16" i="2"/>
  <c r="Y16" i="2"/>
  <c r="AJ13" i="1"/>
  <c r="C5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AE15" i="2" l="1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G15" i="2"/>
  <c r="Y15" i="2"/>
  <c r="Q15" i="2"/>
  <c r="I15" i="2"/>
  <c r="AF15" i="2"/>
  <c r="X15" i="2"/>
  <c r="P15" i="2"/>
  <c r="H15" i="2"/>
  <c r="AI15" i="1"/>
  <c r="AH15" i="1" l="1"/>
  <c r="AF15" i="1" l="1"/>
  <c r="AG15" i="1"/>
  <c r="AE15" i="1" l="1"/>
  <c r="AD15" i="1" l="1"/>
  <c r="AC15" i="1" l="1"/>
  <c r="AB15" i="1" l="1"/>
  <c r="AA15" i="1" l="1"/>
  <c r="Z15" i="1" l="1"/>
  <c r="X15" i="1" l="1"/>
  <c r="Y15" i="1"/>
  <c r="W15" i="1" l="1"/>
  <c r="U15" i="1" l="1"/>
  <c r="V15" i="1"/>
  <c r="T15" i="1" l="1"/>
  <c r="S15" i="1" l="1"/>
  <c r="R15" i="1" l="1"/>
  <c r="Q15" i="1" l="1"/>
  <c r="P15" i="1" l="1"/>
  <c r="O15" i="1" l="1"/>
  <c r="N15" i="1" l="1"/>
  <c r="L15" i="1" l="1"/>
  <c r="M15" i="1"/>
  <c r="K15" i="1" l="1"/>
  <c r="J15" i="1" l="1"/>
  <c r="I15" i="1" l="1"/>
  <c r="H15" i="1" l="1"/>
  <c r="G15" i="1" l="1"/>
</calcChain>
</file>

<file path=xl/sharedStrings.xml><?xml version="1.0" encoding="utf-8"?>
<sst xmlns="http://schemas.openxmlformats.org/spreadsheetml/2006/main" count="39" uniqueCount="16">
  <si>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</si>
  <si>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</si>
  <si>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</si>
  <si>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</si>
  <si>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</si>
  <si>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</si>
  <si>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</si>
  <si>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</si>
  <si>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</si>
  <si>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</si>
  <si>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</si>
  <si>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</t>
  </si>
  <si>
    <t>q_start</t>
  </si>
  <si>
    <t>T_gas</t>
  </si>
  <si>
    <r>
      <t>α</t>
    </r>
    <r>
      <rPr>
        <sz val="11"/>
        <color theme="1"/>
        <rFont val="Calibri"/>
        <family val="2"/>
      </rPr>
      <t>(T_end-T_gas)</t>
    </r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</si>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</sst>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0"/>
      <color rgb="FF202124"/>
      <name val="Arial"/>
      <family val="2"/>
      <charset val="204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0" xfId="0" applyBorder="1"/>
    <xf numFmtId="0" fontId="2" fillId="0" borderId="0" xfId="0" applyFont="1"/>
    <xf numFmtId="0" fontId="1" fillId="0" borderId="0" xfId="0" applyFont="1"/>
    <xf numFmtId="0" fontId="1" fillId="0" borderId="1" xfId="0" applyFon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47-4C39-ADD2-3FE5B1EF0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71744"/>
        <c:axId val="2099371328"/>
      </c:scatterChart>
      <c:valAx>
        <c:axId val="20993717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0300918635170613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328"/>
        <c:crosses val="autoZero"/>
        <c:crossBetween val="midCat"/>
      </c:valAx>
      <c:valAx>
        <c:axId val="20993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3888888888888888E-2"/>
              <c:y val="2.17399387576552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2-го рода'!$F$13:$AJ$13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F1-455C-8E9F-A9B50D7D9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71744"/>
        <c:axId val="2099371328"/>
      </c:scatterChart>
      <c:valAx>
        <c:axId val="20993717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0300918635170613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328"/>
        <c:crosses val="autoZero"/>
        <c:crossBetween val="midCat"/>
      </c:valAx>
      <c:valAx>
        <c:axId val="20993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3888888888888888E-2"/>
              <c:y val="2.17399387576552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3-го рода'!$F$13:$AJ$13</c:f>
              <c:numCache>
                <c:formatCode>General</c:formatCode>
                <c:ptCount val="31"/>
                <c:pt idx="0">
                  <c:v>110.95651112563898</c:v>
                </c:pt>
                <c:pt idx="1">
                  <c:v>110.59129373433464</c:v>
                </c:pt>
                <c:pt idx="2">
                  <c:v>110.22607637311539</c:v>
                </c:pt>
                <c:pt idx="3">
                  <c:v>109.86085904189595</c:v>
                </c:pt>
                <c:pt idx="4">
                  <c:v>109.49564174050602</c:v>
                </c:pt>
                <c:pt idx="5">
                  <c:v>109.13042446869071</c:v>
                </c:pt>
                <c:pt idx="6">
                  <c:v>108.76520722611133</c:v>
                </c:pt>
                <c:pt idx="7">
                  <c:v>108.39999001234628</c:v>
                </c:pt>
                <c:pt idx="8">
                  <c:v>108.03477282689234</c:v>
                </c:pt>
                <c:pt idx="9">
                  <c:v>107.66955566916593</c:v>
                </c:pt>
                <c:pt idx="10">
                  <c:v>107.30433853850508</c:v>
                </c:pt>
                <c:pt idx="11">
                  <c:v>106.93912143417081</c:v>
                </c:pt>
                <c:pt idx="12">
                  <c:v>106.57390435534981</c:v>
                </c:pt>
                <c:pt idx="13">
                  <c:v>106.20868730115623</c:v>
                </c:pt>
                <c:pt idx="14">
                  <c:v>105.84347027063453</c:v>
                </c:pt>
                <c:pt idx="15">
                  <c:v>105.478253262762</c:v>
                </c:pt>
                <c:pt idx="16">
                  <c:v>105.11303627645179</c:v>
                </c:pt>
                <c:pt idx="17">
                  <c:v>104.74781931055588</c:v>
                </c:pt>
                <c:pt idx="18">
                  <c:v>104.38260236386843</c:v>
                </c:pt>
                <c:pt idx="19">
                  <c:v>104.01738543512909</c:v>
                </c:pt>
                <c:pt idx="20">
                  <c:v>103.6521685230267</c:v>
                </c:pt>
                <c:pt idx="21">
                  <c:v>103.28695162620289</c:v>
                </c:pt>
                <c:pt idx="22">
                  <c:v>102.92173474325602</c:v>
                </c:pt>
                <c:pt idx="23">
                  <c:v>102.55651787274508</c:v>
                </c:pt>
                <c:pt idx="24">
                  <c:v>102.19130101319382</c:v>
                </c:pt>
                <c:pt idx="25">
                  <c:v>101.82608416309498</c:v>
                </c:pt>
                <c:pt idx="26">
                  <c:v>101.46086732091436</c:v>
                </c:pt>
                <c:pt idx="27">
                  <c:v>101.09565048509549</c:v>
                </c:pt>
                <c:pt idx="28">
                  <c:v>100.73043365406375</c:v>
                </c:pt>
                <c:pt idx="29">
                  <c:v>100.36521682623099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28-408A-B4D5-7E7E13CE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71744"/>
        <c:axId val="2099371328"/>
      </c:scatterChart>
      <c:valAx>
        <c:axId val="20993717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0300918635170613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328"/>
        <c:crosses val="autoZero"/>
        <c:crossBetween val="midCat"/>
      </c:valAx>
      <c:valAx>
        <c:axId val="20993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3888888888888888E-2"/>
              <c:y val="2.17399387576552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441960</xdr:colOff>
      <xdr:row>15</xdr:row>
      <xdr:rowOff>171450</xdr:rowOff>
    </xdr:from>
    <xdr:to>
      <xdr:col>12</xdr:col>
      <xdr:colOff>137160</xdr:colOff>
      <xdr:row>30</xdr:row>
      <xdr:rowOff>171450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D6ACE297-8200-4244-9657-409AABEEB4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18</xdr:row>
      <xdr:rowOff>121920</xdr:rowOff>
    </xdr:from>
    <xdr:to>
      <xdr:col>13</xdr:col>
      <xdr:colOff>38100</xdr:colOff>
      <xdr:row>33</xdr:row>
      <xdr:rowOff>121920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D35CB9B-F28A-4918-B92A-74111238B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17</xdr:row>
      <xdr:rowOff>53340</xdr:rowOff>
    </xdr:from>
    <xdr:to>
      <xdr:col>10</xdr:col>
      <xdr:colOff>281940</xdr:colOff>
      <xdr:row>32</xdr:row>
      <xdr:rowOff>53340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574EBE-D1C8-4EC9-A4E7-848C839C1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20"/>
  <sheetViews>
    <sheetView topLeftCell="A4" workbookViewId="0">
      <selection activeCell="M29" sqref="M29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5000</v>
      </c>
      <c r="D6">
        <v>5000.2333333333345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 x14ac:dyDescent="0.3">
      <c r="B12" s="2" t="s">
        <v>8</v>
      </c>
      <c r="C12" s="2">
        <v>300</v>
      </c>
      <c r="E12" t="s">
        <v>0</v>
      </c>
      <c r="F12" s="1">
        <v>0</v>
      </c>
      <c r="G12" s="1">
        <f>F12+$C$4</f>
        <v>3.3333333333333335E-3</v>
      </c>
      <c r="H12" s="1">
        <f t="shared" ref="H12:AJ12" si="0">G12+$C$4</f>
        <v>6.6666666666666671E-3</v>
      </c>
      <c r="I12" s="1">
        <f t="shared" si="0"/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 t="shared" si="0"/>
        <v>6.0000000000000005E-2</v>
      </c>
      <c r="Y12" s="1">
        <f t="shared" si="0"/>
        <v>6.3333333333333339E-2</v>
      </c>
      <c r="Z12" s="1">
        <f t="shared" si="0"/>
        <v>6.6666666666666666E-2</v>
      </c>
      <c r="AA12" s="1">
        <f t="shared" si="0"/>
        <v>6.9999999999999993E-2</v>
      </c>
      <c r="AB12" s="1">
        <f t="shared" si="0"/>
        <v>7.333333333333332E-2</v>
      </c>
      <c r="AC12" s="1">
        <f t="shared" si="0"/>
        <v>7.6666666666666647E-2</v>
      </c>
      <c r="AD12" s="1">
        <f t="shared" si="0"/>
        <v>7.9999999999999974E-2</v>
      </c>
      <c r="AE12" s="1">
        <f t="shared" si="0"/>
        <v>8.3333333333333301E-2</v>
      </c>
      <c r="AF12" s="1">
        <f t="shared" si="0"/>
        <v>8.6666666666666628E-2</v>
      </c>
      <c r="AG12" s="1">
        <f t="shared" si="0"/>
        <v>8.9999999999999955E-2</v>
      </c>
      <c r="AH12" s="1">
        <f t="shared" si="0"/>
        <v>9.3333333333333282E-2</v>
      </c>
      <c r="AI12" s="1">
        <f t="shared" si="0"/>
        <v>9.6666666666666609E-2</v>
      </c>
      <c r="AJ12" s="1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293.33333333333297</v>
      </c>
      <c r="H13">
        <v>286.66666666666595</v>
      </c>
      <c r="I13">
        <v>279.99999999999898</v>
      </c>
      <c r="J13">
        <v>273.33333333333206</v>
      </c>
      <c r="K13">
        <v>266.66666666666515</v>
      </c>
      <c r="L13">
        <v>259.99999999999829</v>
      </c>
      <c r="M13">
        <v>253.3333333333315</v>
      </c>
      <c r="N13">
        <v>246.66666666666472</v>
      </c>
      <c r="O13">
        <v>239.99999999999795</v>
      </c>
      <c r="P13">
        <v>233.33333333333121</v>
      </c>
      <c r="Q13">
        <v>226.6666666666645</v>
      </c>
      <c r="R13">
        <v>219.99999999999778</v>
      </c>
      <c r="S13">
        <v>213.3333333333311</v>
      </c>
      <c r="T13">
        <v>206.66666666666444</v>
      </c>
      <c r="U13">
        <v>199.99999999999778</v>
      </c>
      <c r="V13">
        <v>193.33333333333115</v>
      </c>
      <c r="W13">
        <v>186.66666666666453</v>
      </c>
      <c r="X13">
        <v>179.99999999999793</v>
      </c>
      <c r="Y13">
        <v>173.33333333333132</v>
      </c>
      <c r="Z13">
        <v>166.66666666666475</v>
      </c>
      <c r="AA13">
        <v>159.99999999999821</v>
      </c>
      <c r="AB13">
        <v>153.33333333333167</v>
      </c>
      <c r="AC13">
        <v>146.66666666666515</v>
      </c>
      <c r="AD13">
        <v>139.99999999999866</v>
      </c>
      <c r="AE13">
        <v>133.33333333333218</v>
      </c>
      <c r="AF13">
        <v>126.66666666666573</v>
      </c>
      <c r="AG13">
        <v>119.99999999999929</v>
      </c>
      <c r="AH13">
        <v>113.33333333333286</v>
      </c>
      <c r="AI13">
        <v>106.66666666666643</v>
      </c>
      <c r="AJ13">
        <f>C13</f>
        <v>100</v>
      </c>
    </row>
    <row r="15" spans="2:36" x14ac:dyDescent="0.3">
      <c r="B15" s="3"/>
      <c r="C15" s="3"/>
      <c r="E15" t="s">
        <v>10</v>
      </c>
      <c r="G15">
        <f>G13+(($C$10*$C$5)/($C$9*$C$8))*((H13-2*G13+F13)/($C$4^2))</f>
        <v>293.33333333333297</v>
      </c>
      <c r="H15">
        <f t="shared" ref="H15:AI15" si="1">H13+(($C$10*$C$5)/($C$9*$C$8))*((I13-2*H13+G13)/($C$4^2))</f>
        <v>286.66666666666595</v>
      </c>
      <c r="I15">
        <f t="shared" si="1"/>
        <v>279.99999999999898</v>
      </c>
      <c r="J15">
        <f t="shared" si="1"/>
        <v>273.33333333333206</v>
      </c>
      <c r="K15">
        <f t="shared" si="1"/>
        <v>266.66666666666515</v>
      </c>
      <c r="L15">
        <f t="shared" si="1"/>
        <v>259.99999999999829</v>
      </c>
      <c r="M15">
        <f t="shared" si="1"/>
        <v>253.3333333333315</v>
      </c>
      <c r="N15">
        <f t="shared" si="1"/>
        <v>246.66666666666472</v>
      </c>
      <c r="O15">
        <f t="shared" si="1"/>
        <v>239.99999999999795</v>
      </c>
      <c r="P15">
        <f t="shared" si="1"/>
        <v>233.33333333333121</v>
      </c>
      <c r="Q15">
        <f t="shared" si="1"/>
        <v>226.6666666666645</v>
      </c>
      <c r="R15">
        <f t="shared" si="1"/>
        <v>219.99999999999778</v>
      </c>
      <c r="S15">
        <f t="shared" si="1"/>
        <v>213.3333333333311</v>
      </c>
      <c r="T15">
        <f t="shared" si="1"/>
        <v>206.66666666666444</v>
      </c>
      <c r="U15">
        <f t="shared" si="1"/>
        <v>199.99999999999778</v>
      </c>
      <c r="V15">
        <f t="shared" si="1"/>
        <v>193.33333333333115</v>
      </c>
      <c r="W15">
        <f t="shared" si="1"/>
        <v>186.66666666666453</v>
      </c>
      <c r="X15">
        <f t="shared" si="1"/>
        <v>179.99999999999793</v>
      </c>
      <c r="Y15">
        <f t="shared" si="1"/>
        <v>173.33333333333132</v>
      </c>
      <c r="Z15">
        <f t="shared" si="1"/>
        <v>166.66666666666475</v>
      </c>
      <c r="AA15">
        <f t="shared" si="1"/>
        <v>159.99999999999821</v>
      </c>
      <c r="AB15">
        <f t="shared" si="1"/>
        <v>153.33333333333167</v>
      </c>
      <c r="AC15">
        <f t="shared" si="1"/>
        <v>146.66666666666515</v>
      </c>
      <c r="AD15">
        <f t="shared" si="1"/>
        <v>139.99999999999866</v>
      </c>
      <c r="AE15">
        <f t="shared" si="1"/>
        <v>133.33333333333218</v>
      </c>
      <c r="AF15">
        <f t="shared" si="1"/>
        <v>126.66666666666573</v>
      </c>
      <c r="AG15">
        <f t="shared" si="1"/>
        <v>119.99999999999929</v>
      </c>
      <c r="AH15">
        <f t="shared" si="1"/>
        <v>113.33333333333286</v>
      </c>
      <c r="AI15">
        <f t="shared" si="1"/>
        <v>106.66666666666643</v>
      </c>
    </row>
    <row r="16" spans="2:36" x14ac:dyDescent="0.3">
      <c r="B16" s="3"/>
      <c r="C16" s="3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20" spans="9:9" x14ac:dyDescent="0.3">
      <c r="I20" s="4"/>
    </row>
  </sheetData>
  <conditionalFormatting sqref="F13:AJ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49DD0-C17B-489A-AE82-352F62A17633}">
  <sheetPr codeName="Лист2"/>
  <dimension ref="B3:AJ20"/>
  <sheetViews>
    <sheetView workbookViewId="0">
      <selection activeCell="Q27" sqref="Q27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5000</v>
      </c>
      <c r="D6">
        <v>5000.2333333333345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 x14ac:dyDescent="0.3">
      <c r="B12" s="3"/>
      <c r="C12" s="3"/>
      <c r="E12" t="s">
        <v>0</v>
      </c>
      <c r="F12" s="1">
        <v>0</v>
      </c>
      <c r="G12" s="1">
        <f>F12+$C$4</f>
        <v>3.3333333333333335E-3</v>
      </c>
      <c r="H12" s="1">
        <f t="shared" ref="H12:AJ12" si="0">G12+$C$4</f>
        <v>6.6666666666666671E-3</v>
      </c>
      <c r="I12" s="1">
        <f t="shared" si="0"/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 t="shared" si="0"/>
        <v>6.0000000000000005E-2</v>
      </c>
      <c r="Y12" s="1">
        <f t="shared" si="0"/>
        <v>6.3333333333333339E-2</v>
      </c>
      <c r="Z12" s="1">
        <f t="shared" si="0"/>
        <v>6.6666666666666666E-2</v>
      </c>
      <c r="AA12" s="1">
        <f t="shared" si="0"/>
        <v>6.9999999999999993E-2</v>
      </c>
      <c r="AB12" s="1">
        <f t="shared" si="0"/>
        <v>7.333333333333332E-2</v>
      </c>
      <c r="AC12" s="1">
        <f t="shared" si="0"/>
        <v>7.6666666666666647E-2</v>
      </c>
      <c r="AD12" s="1">
        <f t="shared" si="0"/>
        <v>7.9999999999999974E-2</v>
      </c>
      <c r="AE12" s="1">
        <f t="shared" si="0"/>
        <v>8.3333333333333301E-2</v>
      </c>
      <c r="AF12" s="1">
        <f t="shared" si="0"/>
        <v>8.6666666666666628E-2</v>
      </c>
      <c r="AG12" s="1">
        <f t="shared" si="0"/>
        <v>8.9999999999999955E-2</v>
      </c>
      <c r="AH12" s="1">
        <f t="shared" si="0"/>
        <v>9.3333333333333282E-2</v>
      </c>
      <c r="AI12" s="1">
        <f t="shared" si="0"/>
        <v>9.6666666666666609E-2</v>
      </c>
      <c r="AJ12" s="1">
        <f t="shared" si="0"/>
        <v>9.9999999999999936E-2</v>
      </c>
    </row>
    <row r="13" spans="2:36" x14ac:dyDescent="0.3">
      <c r="B13" s="3"/>
      <c r="C13" s="3"/>
      <c r="E13" t="s">
        <v>7</v>
      </c>
      <c r="F13">
        <f>G13+($F$16*$C$4/$C$10)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f>C16</f>
        <v>100</v>
      </c>
    </row>
    <row r="15" spans="2:36" x14ac:dyDescent="0.3">
      <c r="B15" s="2" t="s">
        <v>12</v>
      </c>
      <c r="C15" s="2">
        <v>92000</v>
      </c>
      <c r="E15" t="s">
        <v>10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2:36" x14ac:dyDescent="0.3">
      <c r="B16" s="2" t="s">
        <v>9</v>
      </c>
      <c r="C16" s="2">
        <v>100</v>
      </c>
      <c r="E16" t="s">
        <v>11</v>
      </c>
      <c r="F16">
        <f>C15</f>
        <v>92000</v>
      </c>
      <c r="G16" s="4">
        <f>-$C$10*((G13-F13)/$C$4)</f>
        <v>92000.000000000247</v>
      </c>
      <c r="H16" s="4">
        <f t="shared" ref="H16:AI16" si="2">-$C$10*((H13-G13)/$C$4)</f>
        <v>91999.999124981885</v>
      </c>
      <c r="I16" s="4">
        <f t="shared" si="2"/>
        <v>91999.998252443896</v>
      </c>
      <c r="J16" s="4">
        <f t="shared" si="2"/>
        <v>91999.997384860442</v>
      </c>
      <c r="K16" s="4">
        <f t="shared" si="2"/>
        <v>91999.996524688366</v>
      </c>
      <c r="L16" s="4">
        <f t="shared" si="2"/>
        <v>91999.995674368853</v>
      </c>
      <c r="M16" s="4">
        <f t="shared" si="2"/>
        <v>91999.994836309721</v>
      </c>
      <c r="N16" s="4">
        <f t="shared" si="2"/>
        <v>91999.994012888623</v>
      </c>
      <c r="O16" s="4">
        <f t="shared" si="2"/>
        <v>91999.993206437299</v>
      </c>
      <c r="P16" s="4">
        <f t="shared" si="2"/>
        <v>91999.992419244736</v>
      </c>
      <c r="Q16" s="4">
        <f t="shared" si="2"/>
        <v>91999.991653538746</v>
      </c>
      <c r="R16" s="4">
        <f t="shared" si="2"/>
        <v>91999.990911493791</v>
      </c>
      <c r="S16" s="4">
        <f t="shared" si="2"/>
        <v>91999.990195209044</v>
      </c>
      <c r="T16" s="4">
        <f t="shared" si="2"/>
        <v>91999.989506719328</v>
      </c>
      <c r="U16" s="4">
        <f t="shared" si="2"/>
        <v>91999.988847971617</v>
      </c>
      <c r="V16" s="4">
        <f t="shared" si="2"/>
        <v>91999.988220837593</v>
      </c>
      <c r="W16" s="4">
        <f t="shared" si="2"/>
        <v>91999.987627091265</v>
      </c>
      <c r="X16" s="4">
        <f t="shared" si="2"/>
        <v>91999.987068418384</v>
      </c>
      <c r="Y16" s="4">
        <f t="shared" si="2"/>
        <v>91999.986546400789</v>
      </c>
      <c r="Z16" s="4">
        <f t="shared" si="2"/>
        <v>91999.986062519471</v>
      </c>
      <c r="AA16" s="4">
        <f t="shared" si="2"/>
        <v>91999.985618145278</v>
      </c>
      <c r="AB16" s="4">
        <f t="shared" si="2"/>
        <v>91999.985214537985</v>
      </c>
      <c r="AC16" s="4">
        <f t="shared" si="2"/>
        <v>91999.984852841313</v>
      </c>
      <c r="AD16" s="4">
        <f t="shared" si="2"/>
        <v>91999.984534081304</v>
      </c>
      <c r="AE16" s="4">
        <f t="shared" si="2"/>
        <v>91999.984259160876</v>
      </c>
      <c r="AF16" s="4">
        <f t="shared" si="2"/>
        <v>91999.984028860315</v>
      </c>
      <c r="AG16" s="4">
        <f t="shared" si="2"/>
        <v>91999.98384383072</v>
      </c>
      <c r="AH16" s="4">
        <f t="shared" si="2"/>
        <v>91999.983704597675</v>
      </c>
      <c r="AI16" s="4">
        <f t="shared" si="2"/>
        <v>91999.983611556323</v>
      </c>
    </row>
    <row r="20" spans="9:9" x14ac:dyDescent="0.3">
      <c r="I20" s="4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04EE-413A-4AB2-A8B7-AF1F2CA6A63A}">
  <sheetPr codeName="Лист3"/>
  <dimension ref="B3:AJ20"/>
  <sheetViews>
    <sheetView tabSelected="1" workbookViewId="0">
      <selection activeCell="L23" sqref="L23"/>
    </sheetView>
  </sheetViews>
  <sheetFormatPr defaultRowHeight="14.4" x14ac:dyDescent="0.3"/>
  <cols>
    <col min="5" max="5" width="14.21875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5000</v>
      </c>
      <c r="D6">
        <v>5000.2333333333345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 x14ac:dyDescent="0.3">
      <c r="B12" s="3"/>
      <c r="C12" s="3"/>
      <c r="E12" t="s">
        <v>0</v>
      </c>
      <c r="F12" s="1">
        <v>0</v>
      </c>
      <c r="G12" s="1">
        <f>F12+$C$4</f>
        <v>3.3333333333333335E-3</v>
      </c>
      <c r="H12" s="1">
        <f t="shared" ref="H12:AJ12" si="0">G12+$C$4</f>
        <v>6.6666666666666671E-3</v>
      </c>
      <c r="I12" s="1">
        <f t="shared" si="0"/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 t="shared" si="0"/>
        <v>6.0000000000000005E-2</v>
      </c>
      <c r="Y12" s="1">
        <f t="shared" si="0"/>
        <v>6.3333333333333339E-2</v>
      </c>
      <c r="Z12" s="1">
        <f t="shared" si="0"/>
        <v>6.6666666666666666E-2</v>
      </c>
      <c r="AA12" s="1">
        <f t="shared" si="0"/>
        <v>6.9999999999999993E-2</v>
      </c>
      <c r="AB12" s="1">
        <f t="shared" si="0"/>
        <v>7.333333333333332E-2</v>
      </c>
      <c r="AC12" s="1">
        <f t="shared" si="0"/>
        <v>7.6666666666666647E-2</v>
      </c>
      <c r="AD12" s="1">
        <f t="shared" si="0"/>
        <v>7.9999999999999974E-2</v>
      </c>
      <c r="AE12" s="1">
        <f t="shared" si="0"/>
        <v>8.3333333333333301E-2</v>
      </c>
      <c r="AF12" s="1">
        <f t="shared" si="0"/>
        <v>8.6666666666666628E-2</v>
      </c>
      <c r="AG12" s="1">
        <f t="shared" si="0"/>
        <v>8.9999999999999955E-2</v>
      </c>
      <c r="AH12" s="1">
        <f t="shared" si="0"/>
        <v>9.3333333333333282E-2</v>
      </c>
      <c r="AI12" s="1">
        <f t="shared" si="0"/>
        <v>9.6666666666666609E-2</v>
      </c>
      <c r="AJ12" s="1">
        <f t="shared" si="0"/>
        <v>9.9999999999999936E-2</v>
      </c>
    </row>
    <row r="13" spans="2:36" x14ac:dyDescent="0.3">
      <c r="B13" s="6" t="s">
        <v>15</v>
      </c>
      <c r="C13" s="7">
        <v>63</v>
      </c>
      <c r="E13" t="s">
        <v>7</v>
      </c>
      <c r="F13">
        <f>G13+($F$16*$C$4/$C$10)</f>
        <v>110.95651112563898</v>
      </c>
      <c r="G13">
        <v>110.59129373433464</v>
      </c>
      <c r="H13">
        <v>110.22607637311539</v>
      </c>
      <c r="I13">
        <v>109.86085904189595</v>
      </c>
      <c r="J13">
        <v>109.49564174050602</v>
      </c>
      <c r="K13">
        <v>109.13042446869071</v>
      </c>
      <c r="L13">
        <v>108.76520722611133</v>
      </c>
      <c r="M13">
        <v>108.39999001234628</v>
      </c>
      <c r="N13">
        <v>108.03477282689234</v>
      </c>
      <c r="O13">
        <v>107.66955566916593</v>
      </c>
      <c r="P13">
        <v>107.30433853850508</v>
      </c>
      <c r="Q13">
        <v>106.93912143417081</v>
      </c>
      <c r="R13">
        <v>106.57390435534981</v>
      </c>
      <c r="S13">
        <v>106.20868730115623</v>
      </c>
      <c r="T13">
        <v>105.84347027063453</v>
      </c>
      <c r="U13">
        <v>105.478253262762</v>
      </c>
      <c r="V13">
        <v>105.11303627645179</v>
      </c>
      <c r="W13">
        <v>104.74781931055588</v>
      </c>
      <c r="X13">
        <v>104.38260236386843</v>
      </c>
      <c r="Y13">
        <v>104.01738543512909</v>
      </c>
      <c r="Z13">
        <v>103.6521685230267</v>
      </c>
      <c r="AA13">
        <v>103.28695162620289</v>
      </c>
      <c r="AB13">
        <v>102.92173474325602</v>
      </c>
      <c r="AC13">
        <v>102.55651787274508</v>
      </c>
      <c r="AD13">
        <v>102.19130101319382</v>
      </c>
      <c r="AE13">
        <v>101.82608416309498</v>
      </c>
      <c r="AF13">
        <v>101.46086732091436</v>
      </c>
      <c r="AG13">
        <v>101.09565048509549</v>
      </c>
      <c r="AH13">
        <v>100.73043365406375</v>
      </c>
      <c r="AI13">
        <v>100.36521682623099</v>
      </c>
      <c r="AJ13">
        <f>C16</f>
        <v>100</v>
      </c>
    </row>
    <row r="15" spans="2:36" x14ac:dyDescent="0.3">
      <c r="B15" s="2" t="s">
        <v>13</v>
      </c>
      <c r="C15" s="2">
        <v>20</v>
      </c>
      <c r="E15" t="s">
        <v>10</v>
      </c>
      <c r="G15">
        <f>G13+(($C$10*$C$5)/($C$9*$C$8))*((H13-2*G13+F13)/($C$4^2))</f>
        <v>110.59129374937719</v>
      </c>
      <c r="H15">
        <f t="shared" ref="H15:AI15" si="1">H13+(($C$10*$C$5)/($C$9*$C$8))*((I13-2*H13+G13)/($C$4^2))</f>
        <v>110.2260763881153</v>
      </c>
      <c r="I15">
        <f t="shared" si="1"/>
        <v>109.86085905681071</v>
      </c>
      <c r="J15">
        <f t="shared" si="1"/>
        <v>109.49564175529332</v>
      </c>
      <c r="K15">
        <f t="shared" si="1"/>
        <v>109.13042448330867</v>
      </c>
      <c r="L15">
        <f t="shared" si="1"/>
        <v>108.76520724051849</v>
      </c>
      <c r="M15">
        <f t="shared" si="1"/>
        <v>108.39999002650183</v>
      </c>
      <c r="N15">
        <f t="shared" si="1"/>
        <v>108.0347728407561</v>
      </c>
      <c r="O15">
        <f t="shared" si="1"/>
        <v>107.6695556826987</v>
      </c>
      <c r="P15">
        <f t="shared" si="1"/>
        <v>107.30433855166837</v>
      </c>
      <c r="Q15">
        <f t="shared" si="1"/>
        <v>106.93912144692744</v>
      </c>
      <c r="R15">
        <f t="shared" si="1"/>
        <v>106.57390436766352</v>
      </c>
      <c r="S15">
        <f t="shared" si="1"/>
        <v>106.20868731299217</v>
      </c>
      <c r="T15">
        <f t="shared" si="1"/>
        <v>105.84347028195911</v>
      </c>
      <c r="U15">
        <f t="shared" si="1"/>
        <v>105.47825327354316</v>
      </c>
      <c r="V15">
        <f t="shared" si="1"/>
        <v>105.11303628665894</v>
      </c>
      <c r="W15">
        <f t="shared" si="1"/>
        <v>104.74781932016012</v>
      </c>
      <c r="X15">
        <f t="shared" si="1"/>
        <v>104.38260237284248</v>
      </c>
      <c r="Y15">
        <f t="shared" si="1"/>
        <v>104.01738544344757</v>
      </c>
      <c r="Z15">
        <f t="shared" si="1"/>
        <v>103.65216853066599</v>
      </c>
      <c r="AA15">
        <f t="shared" si="1"/>
        <v>103.28695163314137</v>
      </c>
      <c r="AB15">
        <f t="shared" si="1"/>
        <v>102.92173474947398</v>
      </c>
      <c r="AC15">
        <f t="shared" si="1"/>
        <v>102.55651787822492</v>
      </c>
      <c r="AD15">
        <f t="shared" si="1"/>
        <v>102.19130101792003</v>
      </c>
      <c r="AE15">
        <f t="shared" si="1"/>
        <v>101.82608416705409</v>
      </c>
      <c r="AF15">
        <f t="shared" si="1"/>
        <v>101.46086732409523</v>
      </c>
      <c r="AG15">
        <f t="shared" si="1"/>
        <v>101.09565048748905</v>
      </c>
      <c r="AH15">
        <f t="shared" si="1"/>
        <v>100.73043365566323</v>
      </c>
      <c r="AI15">
        <f t="shared" si="1"/>
        <v>100.36521682703187</v>
      </c>
    </row>
    <row r="16" spans="2:36" x14ac:dyDescent="0.3">
      <c r="B16" s="2" t="s">
        <v>9</v>
      </c>
      <c r="C16" s="2">
        <v>100</v>
      </c>
      <c r="E16" s="5" t="s">
        <v>14</v>
      </c>
      <c r="F16">
        <f>C13*ABS(C16-C15)</f>
        <v>5040</v>
      </c>
      <c r="G16" s="4">
        <f>-$C$10*((G13-F13)/$C$4)</f>
        <v>5039.99999999991</v>
      </c>
      <c r="H16" s="4">
        <f t="shared" ref="H16:AI16" si="2">-$C$10*((H13-G13)/$C$4)</f>
        <v>5039.9995848256676</v>
      </c>
      <c r="I16" s="4">
        <f t="shared" si="2"/>
        <v>5039.9991708282814</v>
      </c>
      <c r="J16" s="4">
        <f t="shared" si="2"/>
        <v>5039.9987591810741</v>
      </c>
      <c r="K16" s="4">
        <f t="shared" si="2"/>
        <v>5039.998351051292</v>
      </c>
      <c r="L16" s="4">
        <f t="shared" si="2"/>
        <v>5039.9979475953951</v>
      </c>
      <c r="M16" s="4">
        <f t="shared" si="2"/>
        <v>5039.997549957684</v>
      </c>
      <c r="N16" s="4">
        <f t="shared" si="2"/>
        <v>5039.997159264416</v>
      </c>
      <c r="O16" s="4">
        <f t="shared" si="2"/>
        <v>5039.9967766243972</v>
      </c>
      <c r="P16" s="4">
        <f t="shared" si="2"/>
        <v>5039.9964031197615</v>
      </c>
      <c r="Q16" s="4">
        <f t="shared" si="2"/>
        <v>5039.9960398128342</v>
      </c>
      <c r="R16" s="4">
        <f t="shared" si="2"/>
        <v>5039.9956877298591</v>
      </c>
      <c r="S16" s="4">
        <f t="shared" si="2"/>
        <v>5039.9953478713887</v>
      </c>
      <c r="T16" s="4">
        <f t="shared" si="2"/>
        <v>5039.9950211995365</v>
      </c>
      <c r="U16" s="4">
        <f t="shared" si="2"/>
        <v>5039.9947086409211</v>
      </c>
      <c r="V16" s="4">
        <f t="shared" si="2"/>
        <v>5039.9944110807837</v>
      </c>
      <c r="W16" s="4">
        <f t="shared" si="2"/>
        <v>5039.994129363572</v>
      </c>
      <c r="X16" s="4">
        <f t="shared" si="2"/>
        <v>5039.9938642868647</v>
      </c>
      <c r="Y16" s="4">
        <f t="shared" si="2"/>
        <v>5039.9936166029393</v>
      </c>
      <c r="Z16" s="4">
        <f t="shared" si="2"/>
        <v>5039.993387012888</v>
      </c>
      <c r="AA16" s="4">
        <f t="shared" si="2"/>
        <v>5039.9931761685793</v>
      </c>
      <c r="AB16" s="4">
        <f t="shared" si="2"/>
        <v>5039.9929846667765</v>
      </c>
      <c r="AC16" s="4">
        <f t="shared" si="2"/>
        <v>5039.9928130510943</v>
      </c>
      <c r="AD16" s="4">
        <f t="shared" si="2"/>
        <v>5039.9926618072986</v>
      </c>
      <c r="AE16" s="4">
        <f t="shared" si="2"/>
        <v>5039.9925313640833</v>
      </c>
      <c r="AF16" s="4">
        <f t="shared" si="2"/>
        <v>5039.9924220924904</v>
      </c>
      <c r="AG16" s="4">
        <f t="shared" si="2"/>
        <v>5039.9923343004102</v>
      </c>
      <c r="AH16" s="4">
        <f t="shared" si="2"/>
        <v>5039.9922682380802</v>
      </c>
      <c r="AI16" s="4">
        <f t="shared" si="2"/>
        <v>5039.9922240920005</v>
      </c>
    </row>
    <row r="20" spans="9:9" x14ac:dyDescent="0.3">
      <c r="I20" s="4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1-го рода</vt:lpstr>
      <vt:lpstr>ГУ 2-го рода</vt:lpstr>
      <vt:lpstr>ГУ 3-го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Ирышков</dc:creator>
  <cp:lastModifiedBy>Борис Ирышков</cp:lastModifiedBy>
  <dcterms:created xsi:type="dcterms:W3CDTF">2015-06-05T18:19:34Z</dcterms:created>
  <dcterms:modified xsi:type="dcterms:W3CDTF">2021-03-10T14:43:25Z</dcterms:modified>
</cp:coreProperties>
</file>